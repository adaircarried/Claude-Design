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de actividades" sheetId="1" state="visible" r:id="rId3"/>
  </sheets>
  <definedNames>
    <definedName function="false" hidden="false" localSheetId="0" name="_xlnm.Print_Area" vbProcedure="false">'Plan de actividades'!$B$2:$AC$83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<sst xmlns="http://schemas.openxmlformats.org/spreadsheetml/2006/main" count="222" uniqueCount="97">
  <si>
    <t xml:space="preserve">Nombre del proyecto: Certificación ILUO en soldadura robótica GMAW</t>
  </si>
  <si>
    <t xml:space="preserve">Diego Adair de León Márquez  ·  Tenneco Aguascalientes  ·  1 ago 2026 a 1 ene 2027</t>
  </si>
  <si>
    <t xml:space="preserve">HOY</t>
  </si>
  <si>
    <t xml:space="preserve">Item</t>
  </si>
  <si>
    <t xml:space="preserve">Actividad</t>
  </si>
  <si>
    <t xml:space="preserve">Nivel</t>
  </si>
  <si>
    <t xml:space="preserve">Estado</t>
  </si>
  <si>
    <t xml:space="preserve">Responsable</t>
  </si>
  <si>
    <t xml:space="preserve">Status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</si>
  <si>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</si>
  <si>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</si>
  <si>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</si>
  <si>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</si>
  <si>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</si>
  <si>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03
ago</t>
  </si>
  <si>
    <t xml:space="preserve">10
ago</t>
  </si>
  <si>
    <t xml:space="preserve">17
ago</t>
  </si>
  <si>
    <t xml:space="preserve">24
ago</t>
  </si>
  <si>
    <t xml:space="preserve">31
ago</t>
  </si>
  <si>
    <t xml:space="preserve">07
sep</t>
  </si>
  <si>
    <t xml:space="preserve">14
sep</t>
  </si>
  <si>
    <t xml:space="preserve">21
sep</t>
  </si>
  <si>
    <t xml:space="preserve">28
sep</t>
  </si>
  <si>
    <t xml:space="preserve">05
oct</t>
  </si>
  <si>
    <t xml:space="preserve">12
oct</t>
  </si>
  <si>
    <t xml:space="preserve">19
oct</t>
  </si>
  <si>
    <t xml:space="preserve">26
oct</t>
  </si>
  <si>
    <t xml:space="preserve">02
nov</t>
  </si>
  <si>
    <t xml:space="preserve">09
nov</t>
  </si>
  <si>
    <t xml:space="preserve">16
nov</t>
  </si>
  <si>
    <t xml:space="preserve">23
nov</t>
  </si>
  <si>
    <t xml:space="preserve">30
nov</t>
  </si>
  <si>
    <t xml:space="preserve">07
dic</t>
  </si>
  <si>
    <t xml:space="preserve">14
dic</t>
  </si>
  <si>
    <t xml:space="preserve">21
dic</t>
  </si>
  <si>
    <t xml:space="preserve">28
dic</t>
  </si>
  <si>
    <t xml:space="preserve">NIVEL I — FUNDAMENTOS DE SOLDADURA  ·  9 habilidades  ·  4 h  ·  examen teórico 8.0</t>
  </si>
  <si>
    <t xml:space="preserve">Seguridad de soldadura y de celda robótica</t>
  </si>
  <si>
    <t xml:space="preserve">I</t>
  </si>
  <si>
    <t xml:space="preserve">Parcial</t>
  </si>
  <si>
    <t xml:space="preserve">Diego de León</t>
  </si>
  <si>
    <t xml:space="preserve">Plan</t>
  </si>
  <si>
    <t xml:space="preserve">Real</t>
  </si>
  <si>
    <t xml:space="preserve">Equipo GMAW: fuente, alimentador, antorcha, consumibles</t>
  </si>
  <si>
    <t xml:space="preserve">Mecanismos de transferencia de metal</t>
  </si>
  <si>
    <t xml:space="preserve">Variables del proceso y variables esenciales (CES §9)</t>
  </si>
  <si>
    <t xml:space="preserve">Discontinuidades de GMAW y límites por clase (CES §16)</t>
  </si>
  <si>
    <t xml:space="preserve">Geometría de las juntas soldadas</t>
  </si>
  <si>
    <t xml:space="preserve">Posiciones de soldadura</t>
  </si>
  <si>
    <t xml:space="preserve">Simbología de soldadura (AWS A2.4 e ISO 2553)</t>
  </si>
  <si>
    <t xml:space="preserve">Documentos de control: WPS, PQR, hoja de parámetros</t>
  </si>
  <si>
    <t xml:space="preserve">Examen teórico, mínimo 8.0</t>
  </si>
  <si>
    <t xml:space="preserve">Pendiente</t>
  </si>
  <si>
    <t xml:space="preserve">Fernando Robledo (tutor de planta)</t>
  </si>
  <si>
    <t xml:space="preserve">NIVEL L — EJECUCIÓN EN LA CELDA  ·  5 habilidades  ·  8 h  ·  validación en piso</t>
  </si>
  <si>
    <t xml:space="preserve">Validación de parámetros contra WPS y hoja de parámetros</t>
  </si>
  <si>
    <t xml:space="preserve">L</t>
  </si>
  <si>
    <t xml:space="preserve">Identificación de discontinuidades y defectos</t>
  </si>
  <si>
    <t xml:space="preserve">Ajuste de variables esenciales: corriente, WFS, voltaje, velocidad</t>
  </si>
  <si>
    <t xml:space="preserve">Dominado</t>
  </si>
  <si>
    <t xml:space="preserve">Interpretación de simbología de soldadura en plano</t>
  </si>
  <si>
    <t xml:space="preserve">Cambio de consumibles: punta, liner, tobera, difusor, rodillos</t>
  </si>
  <si>
    <t xml:space="preserve">Validación en piso del nivel L</t>
  </si>
  <si>
    <t xml:space="preserve">NIVEL U — PROGRAMACIÓN  ·  3 habilidades  ·  8 h  ·  examen práctico</t>
  </si>
  <si>
    <t xml:space="preserve">Creación de programa nuevo de soldadura</t>
  </si>
  <si>
    <t xml:space="preserve">U</t>
  </si>
  <si>
    <t xml:space="preserve">Crear programa en SKS</t>
  </si>
  <si>
    <t xml:space="preserve">No iniciado</t>
  </si>
  <si>
    <t xml:space="preserve">Asignar parámetros de soldadura (SKS / Miller)</t>
  </si>
  <si>
    <t xml:space="preserve">Examen práctico del nivel U</t>
  </si>
  <si>
    <t xml:space="preserve">NIVEL O — ENSEÑAR Y MEJORAR  ·  6 habilidades  ·  20 h  ·  validación de implementación</t>
  </si>
  <si>
    <t xml:space="preserve">Capacitar a personal nivel 2 o 3</t>
  </si>
  <si>
    <t xml:space="preserve">O</t>
  </si>
  <si>
    <t xml:space="preserve">Implementación de ideas de mejora</t>
  </si>
  <si>
    <t xml:space="preserve">Problem solving: 7 básicos, 5W+2H, 8D, Ishikawa</t>
  </si>
  <si>
    <t xml:space="preserve">GD&amp;T</t>
  </si>
  <si>
    <t xml:space="preserve">Cierre de órdenes del ANDON</t>
  </si>
  <si>
    <t xml:space="preserve">Lean Manufacturing</t>
  </si>
  <si>
    <t xml:space="preserve">Validación de implementación del nivel O</t>
  </si>
  <si>
    <t xml:space="preserve">FUERA DE LA MATRIZ ILUO</t>
  </si>
  <si>
    <t xml:space="preserve">Proyecto de integración con ingeniería</t>
  </si>
  <si>
    <t xml:space="preserve">X</t>
  </si>
  <si>
    <t xml:space="preserve">En curso</t>
  </si>
  <si>
    <t xml:space="preserve">Leyenda</t>
  </si>
  <si>
    <t xml:space="preserve">Plan  ·  y actividad impartida en línea</t>
  </si>
  <si>
    <t xml:space="preserve">Real  ·  lo que efectivamente ocurrió</t>
  </si>
  <si>
    <t xml:space="preserve">Actividad que se imparte fuera de línea, en aula</t>
  </si>
  <si>
    <t xml:space="preserve">Hito de evaluación</t>
  </si>
  <si>
    <t xml:space="preserve">Avance por nivel</t>
  </si>
  <si>
    <t xml:space="preserve">Total</t>
  </si>
  <si>
    <t xml:space="preserve">Sin
iniciar</t>
  </si>
  <si>
    <t xml:space="preserve">Nivel I</t>
  </si>
  <si>
    <t xml:space="preserve">Nivel L</t>
  </si>
  <si>
    <t xml:space="preserve">Nivel U</t>
  </si>
  <si>
    <t xml:space="preserve">Nivel O</t>
  </si>
  <si>
    <t xml:space="preserve">Total de la matriz</t>
  </si>
  <si>
    <t xml:space="preserve">Fuente de los estados: autoevaluación de Diego de León al 22 de septiembre de 2026, pendiente de validar con el tutor de planta.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</si>
</sst>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8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7.5"/>
      <color rgb="FFFFFFFF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9DC3E6"/>
        <bgColor rgb="FFBFBFBF"/>
      </patternFill>
    </fill>
    <fill>
      <patternFill patternType="solid">
        <fgColor rgb="FF0070C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F2F2F2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404040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AC8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H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4.7"/>
    <col collapsed="false" customWidth="true" hidden="false" outlineLevel="0" max="3" min="3" style="0" width="62"/>
    <col collapsed="false" customWidth="true" hidden="false" outlineLevel="0" max="4" min="4" style="0" width="6.5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6.5"/>
    <col collapsed="false" customWidth="true" hidden="false" outlineLevel="0" max="29" min="8" style="0" width="4.3"/>
  </cols>
  <sheetData>
    <row r="2" customFormat="false" ht="24" hidden="false" customHeight="true" outlineLevel="0" collapsed="false">
      <c r="B2" s="1" t="s">
        <v>0</v>
      </c>
      <c r="C2" s="1"/>
      <c r="D2" s="1"/>
      <c r="E2" s="1"/>
      <c r="F2" s="1"/>
      <c r="G2" s="1"/>
      <c r="H2" s="2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customFormat="false" ht="15" hidden="false" customHeight="false" outlineLevel="0" collapsed="false">
      <c r="O3" s="3" t="s">
        <v>2</v>
      </c>
    </row>
    <row r="4" customFormat="false" ht="15.75" hidden="false" customHeight="true" outlineLevel="0" collapsed="false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5"/>
      <c r="J4" s="5"/>
      <c r="K4" s="5"/>
      <c r="L4" s="5"/>
      <c r="M4" s="5" t="s">
        <v>10</v>
      </c>
      <c r="N4" s="5"/>
      <c r="O4" s="5"/>
      <c r="P4" s="5"/>
      <c r="Q4" s="5" t="s">
        <v>11</v>
      </c>
      <c r="R4" s="5"/>
      <c r="S4" s="5"/>
      <c r="T4" s="5"/>
      <c r="U4" s="5" t="s">
        <v>12</v>
      </c>
      <c r="V4" s="5"/>
      <c r="W4" s="5"/>
      <c r="X4" s="5"/>
      <c r="Y4" s="5"/>
      <c r="Z4" s="5" t="s">
        <v>13</v>
      </c>
      <c r="AA4" s="5"/>
      <c r="AB4" s="5"/>
      <c r="AC4" s="5"/>
    </row>
    <row r="5" customFormat="false" ht="25.5" hidden="false" customHeight="true" outlineLevel="0" collapsed="false">
      <c r="B5" s="4"/>
      <c r="C5" s="4"/>
      <c r="D5" s="4"/>
      <c r="E5" s="4"/>
      <c r="F5" s="4"/>
      <c r="G5" s="4"/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7" t="s">
        <v>21</v>
      </c>
      <c r="P5" s="6" t="s">
        <v>22</v>
      </c>
      <c r="Q5" s="6" t="s">
        <v>23</v>
      </c>
      <c r="R5" s="6" t="s">
        <v>24</v>
      </c>
      <c r="S5" s="6" t="s">
        <v>25</v>
      </c>
      <c r="T5" s="6" t="s">
        <v>26</v>
      </c>
      <c r="U5" s="6" t="s">
        <v>27</v>
      </c>
      <c r="V5" s="6" t="s">
        <v>28</v>
      </c>
      <c r="W5" s="6" t="s">
        <v>29</v>
      </c>
      <c r="X5" s="6" t="s">
        <v>30</v>
      </c>
      <c r="Y5" s="6" t="s">
        <v>31</v>
      </c>
      <c r="Z5" s="6" t="s">
        <v>32</v>
      </c>
      <c r="AA5" s="6" t="s">
        <v>33</v>
      </c>
      <c r="AB5" s="6" t="s">
        <v>34</v>
      </c>
      <c r="AC5" s="6" t="s">
        <v>35</v>
      </c>
    </row>
    <row r="6" customFormat="false" ht="18" hidden="false" customHeight="true" outlineLevel="0" collapsed="false">
      <c r="B6" s="5" t="s">
        <v>36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customFormat="false" ht="15" hidden="false" customHeight="true" outlineLevel="0" collapsed="false">
      <c r="B7" s="8" t="n">
        <v>1</v>
      </c>
      <c r="C7" s="9" t="s">
        <v>37</v>
      </c>
      <c r="D7" s="10" t="s">
        <v>38</v>
      </c>
      <c r="E7" s="11" t="s">
        <v>39</v>
      </c>
      <c r="F7" s="12" t="s">
        <v>40</v>
      </c>
      <c r="G7" s="13" t="s">
        <v>41</v>
      </c>
      <c r="H7" s="14"/>
      <c r="I7" s="14"/>
      <c r="J7" s="14"/>
      <c r="K7" s="14"/>
      <c r="L7" s="14"/>
      <c r="M7" s="14"/>
      <c r="N7" s="14"/>
      <c r="O7" s="15"/>
      <c r="P7" s="16"/>
      <c r="Q7" s="16"/>
      <c r="R7" s="16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customFormat="false" ht="15" hidden="false" customHeight="true" outlineLevel="0" collapsed="false">
      <c r="B8" s="8"/>
      <c r="C8" s="8"/>
      <c r="D8" s="8"/>
      <c r="E8" s="8"/>
      <c r="F8" s="8"/>
      <c r="G8" s="13" t="s">
        <v>42</v>
      </c>
      <c r="H8" s="17"/>
      <c r="I8" s="17"/>
      <c r="J8" s="17"/>
      <c r="K8" s="17"/>
      <c r="L8" s="17"/>
      <c r="M8" s="17"/>
      <c r="N8" s="17"/>
      <c r="O8" s="18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customFormat="false" ht="15" hidden="false" customHeight="true" outlineLevel="0" collapsed="false">
      <c r="B9" s="8" t="n">
        <v>2</v>
      </c>
      <c r="C9" s="9" t="s">
        <v>43</v>
      </c>
      <c r="D9" s="10" t="s">
        <v>38</v>
      </c>
      <c r="E9" s="11" t="s">
        <v>39</v>
      </c>
      <c r="F9" s="12" t="s">
        <v>40</v>
      </c>
      <c r="G9" s="13" t="s">
        <v>41</v>
      </c>
      <c r="H9" s="14"/>
      <c r="I9" s="14"/>
      <c r="J9" s="14"/>
      <c r="K9" s="14"/>
      <c r="L9" s="14"/>
      <c r="M9" s="14"/>
      <c r="N9" s="14"/>
      <c r="O9" s="15"/>
      <c r="P9" s="16"/>
      <c r="Q9" s="16"/>
      <c r="R9" s="16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 customFormat="false" ht="15" hidden="false" customHeight="true" outlineLevel="0" collapsed="false">
      <c r="B10" s="8"/>
      <c r="C10" s="8"/>
      <c r="D10" s="8"/>
      <c r="E10" s="8"/>
      <c r="F10" s="8"/>
      <c r="G10" s="13" t="s">
        <v>42</v>
      </c>
      <c r="H10" s="17"/>
      <c r="I10" s="17"/>
      <c r="J10" s="17"/>
      <c r="K10" s="17"/>
      <c r="L10" s="17"/>
      <c r="M10" s="17"/>
      <c r="N10" s="17"/>
      <c r="O10" s="18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 customFormat="false" ht="15" hidden="false" customHeight="true" outlineLevel="0" collapsed="false">
      <c r="B11" s="8" t="n">
        <v>3</v>
      </c>
      <c r="C11" s="9" t="s">
        <v>44</v>
      </c>
      <c r="D11" s="10" t="s">
        <v>38</v>
      </c>
      <c r="E11" s="11" t="s">
        <v>39</v>
      </c>
      <c r="F11" s="12" t="s">
        <v>40</v>
      </c>
      <c r="G11" s="13" t="s">
        <v>41</v>
      </c>
      <c r="H11" s="14"/>
      <c r="I11" s="14"/>
      <c r="J11" s="14"/>
      <c r="K11" s="14"/>
      <c r="L11" s="14"/>
      <c r="M11" s="14"/>
      <c r="N11" s="14"/>
      <c r="O11" s="15"/>
      <c r="P11" s="16"/>
      <c r="Q11" s="16"/>
      <c r="R11" s="16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customFormat="false" ht="15" hidden="false" customHeight="true" outlineLevel="0" collapsed="false">
      <c r="B12" s="8"/>
      <c r="C12" s="8"/>
      <c r="D12" s="8"/>
      <c r="E12" s="8"/>
      <c r="F12" s="8"/>
      <c r="G12" s="13" t="s">
        <v>42</v>
      </c>
      <c r="H12" s="17"/>
      <c r="I12" s="17"/>
      <c r="J12" s="17"/>
      <c r="K12" s="17"/>
      <c r="L12" s="17"/>
      <c r="M12" s="17"/>
      <c r="N12" s="17"/>
      <c r="O12" s="18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customFormat="false" ht="15" hidden="false" customHeight="true" outlineLevel="0" collapsed="false">
      <c r="B13" s="8" t="n">
        <v>4</v>
      </c>
      <c r="C13" s="9" t="s">
        <v>45</v>
      </c>
      <c r="D13" s="10" t="s">
        <v>38</v>
      </c>
      <c r="E13" s="11" t="s">
        <v>39</v>
      </c>
      <c r="F13" s="12" t="s">
        <v>40</v>
      </c>
      <c r="G13" s="13" t="s">
        <v>41</v>
      </c>
      <c r="H13" s="14"/>
      <c r="I13" s="14"/>
      <c r="J13" s="14"/>
      <c r="K13" s="14"/>
      <c r="L13" s="14"/>
      <c r="M13" s="14"/>
      <c r="N13" s="14"/>
      <c r="O13" s="15"/>
      <c r="P13" s="16"/>
      <c r="Q13" s="16"/>
      <c r="R13" s="16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customFormat="false" ht="15" hidden="false" customHeight="true" outlineLevel="0" collapsed="false">
      <c r="B14" s="8"/>
      <c r="C14" s="8"/>
      <c r="D14" s="8"/>
      <c r="E14" s="8"/>
      <c r="F14" s="8"/>
      <c r="G14" s="13" t="s">
        <v>42</v>
      </c>
      <c r="H14" s="17"/>
      <c r="I14" s="17"/>
      <c r="J14" s="17"/>
      <c r="K14" s="17"/>
      <c r="L14" s="17"/>
      <c r="M14" s="17"/>
      <c r="N14" s="17"/>
      <c r="O14" s="18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customFormat="false" ht="15" hidden="false" customHeight="true" outlineLevel="0" collapsed="false">
      <c r="B15" s="8" t="n">
        <v>5</v>
      </c>
      <c r="C15" s="9" t="s">
        <v>46</v>
      </c>
      <c r="D15" s="10" t="s">
        <v>38</v>
      </c>
      <c r="E15" s="11" t="s">
        <v>39</v>
      </c>
      <c r="F15" s="12" t="s">
        <v>40</v>
      </c>
      <c r="G15" s="13" t="s">
        <v>41</v>
      </c>
      <c r="H15" s="14"/>
      <c r="I15" s="14"/>
      <c r="J15" s="14"/>
      <c r="K15" s="14"/>
      <c r="L15" s="14"/>
      <c r="M15" s="14"/>
      <c r="N15" s="14"/>
      <c r="O15" s="15"/>
      <c r="P15" s="16"/>
      <c r="Q15" s="16"/>
      <c r="R15" s="16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 customFormat="false" ht="15" hidden="false" customHeight="true" outlineLevel="0" collapsed="false">
      <c r="B16" s="8"/>
      <c r="C16" s="8"/>
      <c r="D16" s="8"/>
      <c r="E16" s="8"/>
      <c r="F16" s="8"/>
      <c r="G16" s="13" t="s">
        <v>42</v>
      </c>
      <c r="H16" s="17"/>
      <c r="I16" s="17"/>
      <c r="J16" s="17"/>
      <c r="K16" s="17"/>
      <c r="L16" s="17"/>
      <c r="M16" s="17"/>
      <c r="N16" s="17"/>
      <c r="O16" s="18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 customFormat="false" ht="15" hidden="false" customHeight="true" outlineLevel="0" collapsed="false">
      <c r="B17" s="8" t="n">
        <v>6</v>
      </c>
      <c r="C17" s="9" t="s">
        <v>47</v>
      </c>
      <c r="D17" s="10" t="s">
        <v>38</v>
      </c>
      <c r="E17" s="11" t="s">
        <v>39</v>
      </c>
      <c r="F17" s="12" t="s">
        <v>40</v>
      </c>
      <c r="G17" s="13" t="s">
        <v>41</v>
      </c>
      <c r="H17" s="14"/>
      <c r="I17" s="14"/>
      <c r="J17" s="14"/>
      <c r="K17" s="14"/>
      <c r="L17" s="14"/>
      <c r="M17" s="14"/>
      <c r="N17" s="14"/>
      <c r="O17" s="15"/>
      <c r="P17" s="16"/>
      <c r="Q17" s="16"/>
      <c r="R17" s="16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 customFormat="false" ht="15" hidden="false" customHeight="true" outlineLevel="0" collapsed="false">
      <c r="B18" s="8"/>
      <c r="C18" s="8"/>
      <c r="D18" s="8"/>
      <c r="E18" s="8"/>
      <c r="F18" s="8"/>
      <c r="G18" s="13" t="s">
        <v>42</v>
      </c>
      <c r="H18" s="17"/>
      <c r="I18" s="17"/>
      <c r="J18" s="17"/>
      <c r="K18" s="17"/>
      <c r="L18" s="17"/>
      <c r="M18" s="17"/>
      <c r="N18" s="17"/>
      <c r="O18" s="18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</row>
    <row r="19" customFormat="false" ht="15" hidden="false" customHeight="true" outlineLevel="0" collapsed="false">
      <c r="B19" s="8" t="n">
        <v>7</v>
      </c>
      <c r="C19" s="9" t="s">
        <v>48</v>
      </c>
      <c r="D19" s="10" t="s">
        <v>38</v>
      </c>
      <c r="E19" s="11" t="s">
        <v>39</v>
      </c>
      <c r="F19" s="12" t="s">
        <v>40</v>
      </c>
      <c r="G19" s="13" t="s">
        <v>41</v>
      </c>
      <c r="H19" s="14"/>
      <c r="I19" s="14"/>
      <c r="J19" s="14"/>
      <c r="K19" s="14"/>
      <c r="L19" s="14"/>
      <c r="M19" s="14"/>
      <c r="N19" s="14"/>
      <c r="O19" s="15"/>
      <c r="P19" s="16"/>
      <c r="Q19" s="16"/>
      <c r="R19" s="16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 customFormat="false" ht="15" hidden="false" customHeight="true" outlineLevel="0" collapsed="false">
      <c r="B20" s="8"/>
      <c r="C20" s="8"/>
      <c r="D20" s="8"/>
      <c r="E20" s="8"/>
      <c r="F20" s="8"/>
      <c r="G20" s="13" t="s">
        <v>42</v>
      </c>
      <c r="H20" s="17"/>
      <c r="I20" s="17"/>
      <c r="J20" s="17"/>
      <c r="K20" s="17"/>
      <c r="L20" s="17"/>
      <c r="M20" s="17"/>
      <c r="N20" s="17"/>
      <c r="O20" s="18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 customFormat="false" ht="15" hidden="false" customHeight="true" outlineLevel="0" collapsed="false">
      <c r="B21" s="8" t="n">
        <v>8</v>
      </c>
      <c r="C21" s="9" t="s">
        <v>49</v>
      </c>
      <c r="D21" s="10" t="s">
        <v>38</v>
      </c>
      <c r="E21" s="11" t="s">
        <v>39</v>
      </c>
      <c r="F21" s="12" t="s">
        <v>40</v>
      </c>
      <c r="G21" s="13" t="s">
        <v>41</v>
      </c>
      <c r="H21" s="14"/>
      <c r="I21" s="14"/>
      <c r="J21" s="14"/>
      <c r="K21" s="14"/>
      <c r="L21" s="14"/>
      <c r="M21" s="14"/>
      <c r="N21" s="14"/>
      <c r="O21" s="15"/>
      <c r="P21" s="16"/>
      <c r="Q21" s="16"/>
      <c r="R21" s="16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customFormat="false" ht="15" hidden="false" customHeight="true" outlineLevel="0" collapsed="false">
      <c r="B22" s="8"/>
      <c r="C22" s="8"/>
      <c r="D22" s="8"/>
      <c r="E22" s="8"/>
      <c r="F22" s="8"/>
      <c r="G22" s="13" t="s">
        <v>42</v>
      </c>
      <c r="H22" s="17"/>
      <c r="I22" s="17"/>
      <c r="J22" s="17"/>
      <c r="K22" s="17"/>
      <c r="L22" s="17"/>
      <c r="M22" s="17"/>
      <c r="N22" s="17"/>
      <c r="O22" s="18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customFormat="false" ht="15" hidden="false" customHeight="true" outlineLevel="0" collapsed="false">
      <c r="B23" s="8" t="n">
        <v>9</v>
      </c>
      <c r="C23" s="9" t="s">
        <v>50</v>
      </c>
      <c r="D23" s="10" t="s">
        <v>38</v>
      </c>
      <c r="E23" s="11" t="s">
        <v>39</v>
      </c>
      <c r="F23" s="12" t="s">
        <v>40</v>
      </c>
      <c r="G23" s="13" t="s">
        <v>41</v>
      </c>
      <c r="H23" s="14"/>
      <c r="I23" s="14"/>
      <c r="J23" s="14"/>
      <c r="K23" s="14"/>
      <c r="L23" s="14"/>
      <c r="M23" s="14"/>
      <c r="N23" s="14"/>
      <c r="O23" s="15"/>
      <c r="P23" s="16"/>
      <c r="Q23" s="16"/>
      <c r="R23" s="16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customFormat="false" ht="15" hidden="false" customHeight="true" outlineLevel="0" collapsed="false">
      <c r="B24" s="8"/>
      <c r="C24" s="8"/>
      <c r="D24" s="8"/>
      <c r="E24" s="8"/>
      <c r="F24" s="8"/>
      <c r="G24" s="13" t="s">
        <v>42</v>
      </c>
      <c r="H24" s="17"/>
      <c r="I24" s="17"/>
      <c r="J24" s="17"/>
      <c r="K24" s="17"/>
      <c r="L24" s="17"/>
      <c r="M24" s="17"/>
      <c r="N24" s="17"/>
      <c r="O24" s="18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 customFormat="false" ht="15" hidden="false" customHeight="true" outlineLevel="0" collapsed="false">
      <c r="B25" s="8" t="n">
        <v>10</v>
      </c>
      <c r="C25" s="19" t="s">
        <v>51</v>
      </c>
      <c r="D25" s="20"/>
      <c r="E25" s="21" t="s">
        <v>52</v>
      </c>
      <c r="F25" s="22" t="s">
        <v>53</v>
      </c>
      <c r="G25" s="13" t="s">
        <v>41</v>
      </c>
      <c r="H25" s="14"/>
      <c r="I25" s="14"/>
      <c r="J25" s="14"/>
      <c r="K25" s="14"/>
      <c r="L25" s="14"/>
      <c r="M25" s="14"/>
      <c r="N25" s="14"/>
      <c r="O25" s="15"/>
      <c r="P25" s="14"/>
      <c r="Q25" s="14"/>
      <c r="R25" s="14"/>
      <c r="S25" s="5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 customFormat="false" ht="15" hidden="false" customHeight="true" outlineLevel="0" collapsed="false">
      <c r="B26" s="8"/>
      <c r="C26" s="8"/>
      <c r="D26" s="8"/>
      <c r="E26" s="8"/>
      <c r="F26" s="8"/>
      <c r="G26" s="13" t="s">
        <v>42</v>
      </c>
      <c r="H26" s="14"/>
      <c r="I26" s="14"/>
      <c r="J26" s="14"/>
      <c r="K26" s="14"/>
      <c r="L26" s="14"/>
      <c r="M26" s="14"/>
      <c r="N26" s="14"/>
      <c r="O26" s="15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 customFormat="false" ht="18" hidden="false" customHeight="true" outlineLevel="0" collapsed="false">
      <c r="B27" s="5" t="s">
        <v>54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customFormat="false" ht="15" hidden="false" customHeight="true" outlineLevel="0" collapsed="false">
      <c r="B28" s="8" t="n">
        <v>11</v>
      </c>
      <c r="C28" s="23" t="s">
        <v>55</v>
      </c>
      <c r="D28" s="10" t="s">
        <v>56</v>
      </c>
      <c r="E28" s="11" t="s">
        <v>39</v>
      </c>
      <c r="F28" s="12" t="s">
        <v>40</v>
      </c>
      <c r="G28" s="13" t="s">
        <v>41</v>
      </c>
      <c r="H28" s="14"/>
      <c r="I28" s="14"/>
      <c r="J28" s="14"/>
      <c r="K28" s="14"/>
      <c r="L28" s="14"/>
      <c r="M28" s="14"/>
      <c r="N28" s="14"/>
      <c r="O28" s="15"/>
      <c r="P28" s="14"/>
      <c r="Q28" s="16"/>
      <c r="R28" s="16"/>
      <c r="S28" s="16"/>
      <c r="T28" s="16"/>
      <c r="U28" s="16"/>
      <c r="V28" s="16"/>
      <c r="W28" s="16"/>
      <c r="X28" s="16"/>
      <c r="Y28" s="14"/>
      <c r="Z28" s="14"/>
      <c r="AA28" s="14"/>
      <c r="AB28" s="14"/>
      <c r="AC28" s="14"/>
    </row>
    <row r="29" customFormat="false" ht="15" hidden="false" customHeight="true" outlineLevel="0" collapsed="false">
      <c r="B29" s="8"/>
      <c r="C29" s="8"/>
      <c r="D29" s="8"/>
      <c r="E29" s="8"/>
      <c r="F29" s="8"/>
      <c r="G29" s="13" t="s">
        <v>42</v>
      </c>
      <c r="H29" s="14"/>
      <c r="I29" s="14"/>
      <c r="J29" s="14"/>
      <c r="K29" s="17"/>
      <c r="L29" s="17"/>
      <c r="M29" s="17"/>
      <c r="N29" s="17"/>
      <c r="O29" s="18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 customFormat="false" ht="15" hidden="false" customHeight="true" outlineLevel="0" collapsed="false">
      <c r="B30" s="8" t="n">
        <v>12</v>
      </c>
      <c r="C30" s="23" t="s">
        <v>57</v>
      </c>
      <c r="D30" s="10" t="s">
        <v>56</v>
      </c>
      <c r="E30" s="11" t="s">
        <v>39</v>
      </c>
      <c r="F30" s="12" t="s">
        <v>40</v>
      </c>
      <c r="G30" s="13" t="s">
        <v>41</v>
      </c>
      <c r="H30" s="14"/>
      <c r="I30" s="14"/>
      <c r="J30" s="14"/>
      <c r="K30" s="14"/>
      <c r="L30" s="14"/>
      <c r="M30" s="14"/>
      <c r="N30" s="14"/>
      <c r="O30" s="15"/>
      <c r="P30" s="14"/>
      <c r="Q30" s="16"/>
      <c r="R30" s="16"/>
      <c r="S30" s="16"/>
      <c r="T30" s="16"/>
      <c r="U30" s="16"/>
      <c r="V30" s="16"/>
      <c r="W30" s="16"/>
      <c r="X30" s="16"/>
      <c r="Y30" s="14"/>
      <c r="Z30" s="14"/>
      <c r="AA30" s="14"/>
      <c r="AB30" s="14"/>
      <c r="AC30" s="14"/>
    </row>
    <row r="31" customFormat="false" ht="15" hidden="false" customHeight="true" outlineLevel="0" collapsed="false">
      <c r="B31" s="8"/>
      <c r="C31" s="8"/>
      <c r="D31" s="8"/>
      <c r="E31" s="8"/>
      <c r="F31" s="8"/>
      <c r="G31" s="13" t="s">
        <v>42</v>
      </c>
      <c r="H31" s="14"/>
      <c r="I31" s="14"/>
      <c r="J31" s="14"/>
      <c r="K31" s="17"/>
      <c r="L31" s="17"/>
      <c r="M31" s="17"/>
      <c r="N31" s="17"/>
      <c r="O31" s="18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customFormat="false" ht="15" hidden="false" customHeight="true" outlineLevel="0" collapsed="false">
      <c r="B32" s="8" t="n">
        <v>13</v>
      </c>
      <c r="C32" s="23" t="s">
        <v>58</v>
      </c>
      <c r="D32" s="10" t="s">
        <v>56</v>
      </c>
      <c r="E32" s="11" t="s">
        <v>59</v>
      </c>
      <c r="F32" s="12" t="s">
        <v>40</v>
      </c>
      <c r="G32" s="13" t="s">
        <v>41</v>
      </c>
      <c r="H32" s="16"/>
      <c r="I32" s="16"/>
      <c r="J32" s="16"/>
      <c r="K32" s="16"/>
      <c r="L32" s="16"/>
      <c r="M32" s="16"/>
      <c r="N32" s="16"/>
      <c r="O32" s="2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 customFormat="false" ht="15" hidden="false" customHeight="true" outlineLevel="0" collapsed="false">
      <c r="B33" s="8"/>
      <c r="C33" s="8"/>
      <c r="D33" s="8"/>
      <c r="E33" s="8"/>
      <c r="F33" s="8"/>
      <c r="G33" s="13" t="s">
        <v>42</v>
      </c>
      <c r="H33" s="14"/>
      <c r="I33" s="17"/>
      <c r="J33" s="17"/>
      <c r="K33" s="17"/>
      <c r="L33" s="17"/>
      <c r="M33" s="17"/>
      <c r="N33" s="17"/>
      <c r="O33" s="18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 customFormat="false" ht="15" hidden="false" customHeight="true" outlineLevel="0" collapsed="false">
      <c r="B34" s="8" t="n">
        <v>14</v>
      </c>
      <c r="C34" s="23" t="s">
        <v>60</v>
      </c>
      <c r="D34" s="10" t="s">
        <v>56</v>
      </c>
      <c r="E34" s="11" t="s">
        <v>59</v>
      </c>
      <c r="F34" s="12" t="s">
        <v>40</v>
      </c>
      <c r="G34" s="13" t="s">
        <v>41</v>
      </c>
      <c r="H34" s="16"/>
      <c r="I34" s="16"/>
      <c r="J34" s="16"/>
      <c r="K34" s="16"/>
      <c r="L34" s="16"/>
      <c r="M34" s="16"/>
      <c r="N34" s="16"/>
      <c r="O34" s="2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</row>
    <row r="35" customFormat="false" ht="15" hidden="false" customHeight="true" outlineLevel="0" collapsed="false">
      <c r="B35" s="8"/>
      <c r="C35" s="8"/>
      <c r="D35" s="8"/>
      <c r="E35" s="8"/>
      <c r="F35" s="8"/>
      <c r="G35" s="13" t="s">
        <v>42</v>
      </c>
      <c r="H35" s="14"/>
      <c r="I35" s="14"/>
      <c r="J35" s="17"/>
      <c r="K35" s="17"/>
      <c r="L35" s="17"/>
      <c r="M35" s="17"/>
      <c r="N35" s="17"/>
      <c r="O35" s="18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</row>
    <row r="36" customFormat="false" ht="15" hidden="false" customHeight="true" outlineLevel="0" collapsed="false">
      <c r="B36" s="8" t="n">
        <v>15</v>
      </c>
      <c r="C36" s="23" t="s">
        <v>61</v>
      </c>
      <c r="D36" s="10" t="s">
        <v>56</v>
      </c>
      <c r="E36" s="11" t="s">
        <v>59</v>
      </c>
      <c r="F36" s="12" t="s">
        <v>40</v>
      </c>
      <c r="G36" s="13" t="s">
        <v>41</v>
      </c>
      <c r="H36" s="16"/>
      <c r="I36" s="16"/>
      <c r="J36" s="16"/>
      <c r="K36" s="16"/>
      <c r="L36" s="16"/>
      <c r="M36" s="16"/>
      <c r="N36" s="16"/>
      <c r="O36" s="2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</row>
    <row r="37" customFormat="false" ht="15" hidden="false" customHeight="true" outlineLevel="0" collapsed="false">
      <c r="B37" s="8"/>
      <c r="C37" s="8"/>
      <c r="D37" s="8"/>
      <c r="E37" s="8"/>
      <c r="F37" s="8"/>
      <c r="G37" s="13" t="s">
        <v>42</v>
      </c>
      <c r="H37" s="17"/>
      <c r="I37" s="17"/>
      <c r="J37" s="17"/>
      <c r="K37" s="17"/>
      <c r="L37" s="17"/>
      <c r="M37" s="17"/>
      <c r="N37" s="17"/>
      <c r="O37" s="18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 customFormat="false" ht="15" hidden="false" customHeight="true" outlineLevel="0" collapsed="false">
      <c r="B38" s="8" t="n">
        <v>16</v>
      </c>
      <c r="C38" s="19" t="s">
        <v>62</v>
      </c>
      <c r="D38" s="20"/>
      <c r="E38" s="21" t="s">
        <v>52</v>
      </c>
      <c r="F38" s="22" t="s">
        <v>53</v>
      </c>
      <c r="G38" s="13" t="s">
        <v>41</v>
      </c>
      <c r="H38" s="14"/>
      <c r="I38" s="14"/>
      <c r="J38" s="14"/>
      <c r="K38" s="14"/>
      <c r="L38" s="14"/>
      <c r="M38" s="14"/>
      <c r="N38" s="14"/>
      <c r="O38" s="15"/>
      <c r="P38" s="14"/>
      <c r="Q38" s="14"/>
      <c r="R38" s="14"/>
      <c r="S38" s="14"/>
      <c r="T38" s="14"/>
      <c r="U38" s="14"/>
      <c r="V38" s="14"/>
      <c r="W38" s="14"/>
      <c r="X38" s="14"/>
      <c r="Y38" s="5"/>
      <c r="Z38" s="14"/>
      <c r="AA38" s="14"/>
      <c r="AB38" s="14"/>
      <c r="AC38" s="14"/>
    </row>
    <row r="39" customFormat="false" ht="15" hidden="false" customHeight="true" outlineLevel="0" collapsed="false">
      <c r="B39" s="8"/>
      <c r="C39" s="8"/>
      <c r="D39" s="8"/>
      <c r="E39" s="8"/>
      <c r="F39" s="8"/>
      <c r="G39" s="13" t="s">
        <v>42</v>
      </c>
      <c r="H39" s="14"/>
      <c r="I39" s="14"/>
      <c r="J39" s="14"/>
      <c r="K39" s="14"/>
      <c r="L39" s="14"/>
      <c r="M39" s="14"/>
      <c r="N39" s="14"/>
      <c r="O39" s="15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 customFormat="false" ht="18" hidden="false" customHeight="true" outlineLevel="0" collapsed="false">
      <c r="B40" s="5" t="s">
        <v>63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customFormat="false" ht="15" hidden="false" customHeight="true" outlineLevel="0" collapsed="false">
      <c r="B41" s="8" t="n">
        <v>17</v>
      </c>
      <c r="C41" s="23" t="s">
        <v>64</v>
      </c>
      <c r="D41" s="10" t="s">
        <v>65</v>
      </c>
      <c r="E41" s="11" t="s">
        <v>39</v>
      </c>
      <c r="F41" s="12" t="s">
        <v>40</v>
      </c>
      <c r="G41" s="13" t="s">
        <v>41</v>
      </c>
      <c r="H41" s="14"/>
      <c r="I41" s="14"/>
      <c r="J41" s="14"/>
      <c r="K41" s="14"/>
      <c r="L41" s="14"/>
      <c r="M41" s="14"/>
      <c r="N41" s="14"/>
      <c r="O41" s="15"/>
      <c r="P41" s="14"/>
      <c r="Q41" s="16"/>
      <c r="R41" s="16"/>
      <c r="S41" s="16"/>
      <c r="T41" s="16"/>
      <c r="U41" s="16"/>
      <c r="V41" s="16"/>
      <c r="W41" s="14"/>
      <c r="X41" s="14"/>
      <c r="Y41" s="14"/>
      <c r="Z41" s="14"/>
      <c r="AA41" s="14"/>
      <c r="AB41" s="14"/>
      <c r="AC41" s="14"/>
    </row>
    <row r="42" customFormat="false" ht="15" hidden="false" customHeight="true" outlineLevel="0" collapsed="false">
      <c r="B42" s="8"/>
      <c r="C42" s="8"/>
      <c r="D42" s="8"/>
      <c r="E42" s="8"/>
      <c r="F42" s="8"/>
      <c r="G42" s="13" t="s">
        <v>42</v>
      </c>
      <c r="H42" s="14"/>
      <c r="I42" s="14"/>
      <c r="J42" s="14"/>
      <c r="K42" s="14"/>
      <c r="L42" s="14"/>
      <c r="M42" s="17"/>
      <c r="N42" s="17"/>
      <c r="O42" s="18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 customFormat="false" ht="15" hidden="false" customHeight="true" outlineLevel="0" collapsed="false">
      <c r="B43" s="8" t="n">
        <v>18</v>
      </c>
      <c r="C43" s="23" t="s">
        <v>66</v>
      </c>
      <c r="D43" s="10" t="s">
        <v>65</v>
      </c>
      <c r="E43" s="11" t="s">
        <v>67</v>
      </c>
      <c r="F43" s="12" t="s">
        <v>40</v>
      </c>
      <c r="G43" s="13" t="s">
        <v>41</v>
      </c>
      <c r="H43" s="14"/>
      <c r="I43" s="14"/>
      <c r="J43" s="14"/>
      <c r="K43" s="14"/>
      <c r="L43" s="14"/>
      <c r="M43" s="14"/>
      <c r="N43" s="14"/>
      <c r="O43" s="15"/>
      <c r="P43" s="14"/>
      <c r="Q43" s="14"/>
      <c r="R43" s="14"/>
      <c r="S43" s="14"/>
      <c r="T43" s="16"/>
      <c r="U43" s="16"/>
      <c r="V43" s="16"/>
      <c r="W43" s="16"/>
      <c r="X43" s="16"/>
      <c r="Y43" s="16"/>
      <c r="Z43" s="16"/>
      <c r="AA43" s="14"/>
      <c r="AB43" s="14"/>
      <c r="AC43" s="14"/>
    </row>
    <row r="44" customFormat="false" ht="15" hidden="false" customHeight="true" outlineLevel="0" collapsed="false">
      <c r="B44" s="8"/>
      <c r="C44" s="8"/>
      <c r="D44" s="8"/>
      <c r="E44" s="8"/>
      <c r="F44" s="8"/>
      <c r="G44" s="13" t="s">
        <v>42</v>
      </c>
      <c r="H44" s="14"/>
      <c r="I44" s="14"/>
      <c r="J44" s="14"/>
      <c r="K44" s="14"/>
      <c r="L44" s="14"/>
      <c r="M44" s="14"/>
      <c r="N44" s="14"/>
      <c r="O44" s="15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 customFormat="false" ht="15" hidden="false" customHeight="true" outlineLevel="0" collapsed="false">
      <c r="B45" s="8" t="n">
        <v>19</v>
      </c>
      <c r="C45" s="23" t="s">
        <v>68</v>
      </c>
      <c r="D45" s="10" t="s">
        <v>65</v>
      </c>
      <c r="E45" s="11" t="s">
        <v>67</v>
      </c>
      <c r="F45" s="12" t="s">
        <v>40</v>
      </c>
      <c r="G45" s="13" t="s">
        <v>41</v>
      </c>
      <c r="H45" s="14"/>
      <c r="I45" s="14"/>
      <c r="J45" s="14"/>
      <c r="K45" s="14"/>
      <c r="L45" s="14"/>
      <c r="M45" s="14"/>
      <c r="N45" s="14"/>
      <c r="O45" s="15"/>
      <c r="P45" s="14"/>
      <c r="Q45" s="14"/>
      <c r="R45" s="14"/>
      <c r="S45" s="14"/>
      <c r="T45" s="16"/>
      <c r="U45" s="16"/>
      <c r="V45" s="16"/>
      <c r="W45" s="16"/>
      <c r="X45" s="16"/>
      <c r="Y45" s="16"/>
      <c r="Z45" s="16"/>
      <c r="AA45" s="14"/>
      <c r="AB45" s="14"/>
      <c r="AC45" s="14"/>
    </row>
    <row r="46" customFormat="false" ht="15" hidden="false" customHeight="true" outlineLevel="0" collapsed="false">
      <c r="B46" s="8"/>
      <c r="C46" s="8"/>
      <c r="D46" s="8"/>
      <c r="E46" s="8"/>
      <c r="F46" s="8"/>
      <c r="G46" s="13" t="s">
        <v>42</v>
      </c>
      <c r="H46" s="14"/>
      <c r="I46" s="14"/>
      <c r="J46" s="14"/>
      <c r="K46" s="14"/>
      <c r="L46" s="14"/>
      <c r="M46" s="14"/>
      <c r="N46" s="14"/>
      <c r="O46" s="15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</row>
    <row r="47" customFormat="false" ht="15" hidden="false" customHeight="true" outlineLevel="0" collapsed="false">
      <c r="B47" s="8" t="n">
        <v>20</v>
      </c>
      <c r="C47" s="19" t="s">
        <v>69</v>
      </c>
      <c r="D47" s="20"/>
      <c r="E47" s="21" t="s">
        <v>52</v>
      </c>
      <c r="F47" s="22" t="s">
        <v>53</v>
      </c>
      <c r="G47" s="13" t="s">
        <v>41</v>
      </c>
      <c r="H47" s="14"/>
      <c r="I47" s="14"/>
      <c r="J47" s="14"/>
      <c r="K47" s="14"/>
      <c r="L47" s="14"/>
      <c r="M47" s="14"/>
      <c r="N47" s="14"/>
      <c r="O47" s="15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5"/>
      <c r="AB47" s="14"/>
      <c r="AC47" s="14"/>
    </row>
    <row r="48" customFormat="false" ht="15" hidden="false" customHeight="true" outlineLevel="0" collapsed="false">
      <c r="B48" s="8"/>
      <c r="C48" s="8"/>
      <c r="D48" s="8"/>
      <c r="E48" s="8"/>
      <c r="F48" s="8"/>
      <c r="G48" s="13" t="s">
        <v>42</v>
      </c>
      <c r="H48" s="14"/>
      <c r="I48" s="14"/>
      <c r="J48" s="14"/>
      <c r="K48" s="14"/>
      <c r="L48" s="14"/>
      <c r="M48" s="14"/>
      <c r="N48" s="14"/>
      <c r="O48" s="15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 customFormat="false" ht="18" hidden="false" customHeight="true" outlineLevel="0" collapsed="false">
      <c r="B49" s="5" t="s">
        <v>70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customFormat="false" ht="15" hidden="false" customHeight="true" outlineLevel="0" collapsed="false">
      <c r="B50" s="8" t="n">
        <v>21</v>
      </c>
      <c r="C50" s="23" t="s">
        <v>71</v>
      </c>
      <c r="D50" s="10" t="s">
        <v>72</v>
      </c>
      <c r="E50" s="11" t="s">
        <v>67</v>
      </c>
      <c r="F50" s="12" t="s">
        <v>40</v>
      </c>
      <c r="G50" s="13" t="s">
        <v>41</v>
      </c>
      <c r="H50" s="14"/>
      <c r="I50" s="14"/>
      <c r="J50" s="14"/>
      <c r="K50" s="14"/>
      <c r="L50" s="14"/>
      <c r="M50" s="14"/>
      <c r="N50" s="14"/>
      <c r="O50" s="15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6"/>
      <c r="AB50" s="16"/>
      <c r="AC50" s="16"/>
    </row>
    <row r="51" customFormat="false" ht="15" hidden="false" customHeight="true" outlineLevel="0" collapsed="false">
      <c r="B51" s="8"/>
      <c r="C51" s="8"/>
      <c r="D51" s="8"/>
      <c r="E51" s="8"/>
      <c r="F51" s="8"/>
      <c r="G51" s="13" t="s">
        <v>42</v>
      </c>
      <c r="H51" s="14"/>
      <c r="I51" s="14"/>
      <c r="J51" s="14"/>
      <c r="K51" s="14"/>
      <c r="L51" s="14"/>
      <c r="M51" s="14"/>
      <c r="N51" s="14"/>
      <c r="O51" s="15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</row>
    <row r="52" customFormat="false" ht="15" hidden="false" customHeight="true" outlineLevel="0" collapsed="false">
      <c r="B52" s="8" t="n">
        <v>22</v>
      </c>
      <c r="C52" s="23" t="s">
        <v>73</v>
      </c>
      <c r="D52" s="10" t="s">
        <v>72</v>
      </c>
      <c r="E52" s="11" t="s">
        <v>67</v>
      </c>
      <c r="F52" s="12" t="s">
        <v>40</v>
      </c>
      <c r="G52" s="13" t="s">
        <v>41</v>
      </c>
      <c r="H52" s="14"/>
      <c r="I52" s="14"/>
      <c r="J52" s="14"/>
      <c r="K52" s="14"/>
      <c r="L52" s="14"/>
      <c r="M52" s="14"/>
      <c r="N52" s="14"/>
      <c r="O52" s="15"/>
      <c r="P52" s="14"/>
      <c r="Q52" s="14"/>
      <c r="R52" s="14"/>
      <c r="S52" s="14"/>
      <c r="T52" s="14"/>
      <c r="U52" s="14"/>
      <c r="V52" s="14"/>
      <c r="W52" s="16"/>
      <c r="X52" s="16"/>
      <c r="Y52" s="16"/>
      <c r="Z52" s="16"/>
      <c r="AA52" s="16"/>
      <c r="AB52" s="16"/>
      <c r="AC52" s="14"/>
    </row>
    <row r="53" customFormat="false" ht="15" hidden="false" customHeight="true" outlineLevel="0" collapsed="false">
      <c r="B53" s="8"/>
      <c r="C53" s="8"/>
      <c r="D53" s="8"/>
      <c r="E53" s="8"/>
      <c r="F53" s="8"/>
      <c r="G53" s="13" t="s">
        <v>42</v>
      </c>
      <c r="H53" s="14"/>
      <c r="I53" s="14"/>
      <c r="J53" s="14"/>
      <c r="K53" s="14"/>
      <c r="L53" s="14"/>
      <c r="M53" s="14"/>
      <c r="N53" s="14"/>
      <c r="O53" s="15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</row>
    <row r="54" customFormat="false" ht="15" hidden="false" customHeight="true" outlineLevel="0" collapsed="false">
      <c r="B54" s="8" t="n">
        <v>23</v>
      </c>
      <c r="C54" s="9" t="s">
        <v>74</v>
      </c>
      <c r="D54" s="10" t="s">
        <v>72</v>
      </c>
      <c r="E54" s="11" t="s">
        <v>67</v>
      </c>
      <c r="F54" s="12" t="s">
        <v>40</v>
      </c>
      <c r="G54" s="13" t="s">
        <v>41</v>
      </c>
      <c r="H54" s="14"/>
      <c r="I54" s="14"/>
      <c r="J54" s="14"/>
      <c r="K54" s="14"/>
      <c r="L54" s="14"/>
      <c r="M54" s="14"/>
      <c r="N54" s="14"/>
      <c r="O54" s="15"/>
      <c r="P54" s="14"/>
      <c r="Q54" s="14"/>
      <c r="R54" s="14"/>
      <c r="S54" s="14"/>
      <c r="T54" s="14"/>
      <c r="U54" s="14"/>
      <c r="V54" s="14"/>
      <c r="W54" s="14"/>
      <c r="X54" s="14"/>
      <c r="Y54" s="16"/>
      <c r="Z54" s="16"/>
      <c r="AA54" s="16"/>
      <c r="AB54" s="16"/>
      <c r="AC54" s="14"/>
    </row>
    <row r="55" customFormat="false" ht="15" hidden="false" customHeight="true" outlineLevel="0" collapsed="false">
      <c r="B55" s="8"/>
      <c r="C55" s="8"/>
      <c r="D55" s="8"/>
      <c r="E55" s="8"/>
      <c r="F55" s="8"/>
      <c r="G55" s="13" t="s">
        <v>42</v>
      </c>
      <c r="H55" s="14"/>
      <c r="I55" s="14"/>
      <c r="J55" s="14"/>
      <c r="K55" s="14"/>
      <c r="L55" s="14"/>
      <c r="M55" s="14"/>
      <c r="N55" s="14"/>
      <c r="O55" s="15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</row>
    <row r="56" customFormat="false" ht="15" hidden="false" customHeight="true" outlineLevel="0" collapsed="false">
      <c r="B56" s="8" t="n">
        <v>24</v>
      </c>
      <c r="C56" s="9" t="s">
        <v>75</v>
      </c>
      <c r="D56" s="10" t="s">
        <v>72</v>
      </c>
      <c r="E56" s="11" t="s">
        <v>67</v>
      </c>
      <c r="F56" s="12" t="s">
        <v>40</v>
      </c>
      <c r="G56" s="13" t="s">
        <v>41</v>
      </c>
      <c r="H56" s="14"/>
      <c r="I56" s="14"/>
      <c r="J56" s="14"/>
      <c r="K56" s="14"/>
      <c r="L56" s="14"/>
      <c r="M56" s="14"/>
      <c r="N56" s="14"/>
      <c r="O56" s="15"/>
      <c r="P56" s="14"/>
      <c r="Q56" s="14"/>
      <c r="R56" s="14"/>
      <c r="S56" s="14"/>
      <c r="T56" s="14"/>
      <c r="U56" s="14"/>
      <c r="V56" s="14"/>
      <c r="W56" s="14"/>
      <c r="X56" s="14"/>
      <c r="Y56" s="16"/>
      <c r="Z56" s="16"/>
      <c r="AA56" s="16"/>
      <c r="AB56" s="16"/>
      <c r="AC56" s="14"/>
    </row>
    <row r="57" customFormat="false" ht="15" hidden="false" customHeight="true" outlineLevel="0" collapsed="false">
      <c r="B57" s="8"/>
      <c r="C57" s="8"/>
      <c r="D57" s="8"/>
      <c r="E57" s="8"/>
      <c r="F57" s="8"/>
      <c r="G57" s="13" t="s">
        <v>42</v>
      </c>
      <c r="H57" s="14"/>
      <c r="I57" s="14"/>
      <c r="J57" s="14"/>
      <c r="K57" s="14"/>
      <c r="L57" s="14"/>
      <c r="M57" s="14"/>
      <c r="N57" s="14"/>
      <c r="O57" s="15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</row>
    <row r="58" customFormat="false" ht="15" hidden="false" customHeight="true" outlineLevel="0" collapsed="false">
      <c r="B58" s="8" t="n">
        <v>25</v>
      </c>
      <c r="C58" s="23" t="s">
        <v>76</v>
      </c>
      <c r="D58" s="10" t="s">
        <v>72</v>
      </c>
      <c r="E58" s="11" t="s">
        <v>59</v>
      </c>
      <c r="F58" s="12" t="s">
        <v>40</v>
      </c>
      <c r="G58" s="13" t="s">
        <v>41</v>
      </c>
      <c r="H58" s="16"/>
      <c r="I58" s="16"/>
      <c r="J58" s="16"/>
      <c r="K58" s="16"/>
      <c r="L58" s="16"/>
      <c r="M58" s="16"/>
      <c r="N58" s="16"/>
      <c r="O58" s="24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</row>
    <row r="59" customFormat="false" ht="15" hidden="false" customHeight="true" outlineLevel="0" collapsed="false">
      <c r="B59" s="8"/>
      <c r="C59" s="8"/>
      <c r="D59" s="8"/>
      <c r="E59" s="8"/>
      <c r="F59" s="8"/>
      <c r="G59" s="13" t="s">
        <v>42</v>
      </c>
      <c r="H59" s="14"/>
      <c r="I59" s="17"/>
      <c r="J59" s="17"/>
      <c r="K59" s="17"/>
      <c r="L59" s="17"/>
      <c r="M59" s="17"/>
      <c r="N59" s="17"/>
      <c r="O59" s="18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 customFormat="false" ht="15" hidden="false" customHeight="true" outlineLevel="0" collapsed="false">
      <c r="B60" s="8" t="n">
        <v>26</v>
      </c>
      <c r="C60" s="9" t="s">
        <v>77</v>
      </c>
      <c r="D60" s="10" t="s">
        <v>72</v>
      </c>
      <c r="E60" s="11" t="s">
        <v>67</v>
      </c>
      <c r="F60" s="12" t="s">
        <v>40</v>
      </c>
      <c r="G60" s="13" t="s">
        <v>41</v>
      </c>
      <c r="H60" s="14"/>
      <c r="I60" s="14"/>
      <c r="J60" s="14"/>
      <c r="K60" s="14"/>
      <c r="L60" s="14"/>
      <c r="M60" s="14"/>
      <c r="N60" s="14"/>
      <c r="O60" s="15"/>
      <c r="P60" s="14"/>
      <c r="Q60" s="14"/>
      <c r="R60" s="14"/>
      <c r="S60" s="14"/>
      <c r="T60" s="14"/>
      <c r="U60" s="14"/>
      <c r="V60" s="14"/>
      <c r="W60" s="14"/>
      <c r="X60" s="14"/>
      <c r="Y60" s="16"/>
      <c r="Z60" s="16"/>
      <c r="AA60" s="16"/>
      <c r="AB60" s="16"/>
      <c r="AC60" s="14"/>
    </row>
    <row r="61" customFormat="false" ht="15" hidden="false" customHeight="true" outlineLevel="0" collapsed="false">
      <c r="B61" s="8"/>
      <c r="C61" s="8"/>
      <c r="D61" s="8"/>
      <c r="E61" s="8"/>
      <c r="F61" s="8"/>
      <c r="G61" s="13" t="s">
        <v>42</v>
      </c>
      <c r="H61" s="14"/>
      <c r="I61" s="14"/>
      <c r="J61" s="14"/>
      <c r="K61" s="14"/>
      <c r="L61" s="14"/>
      <c r="M61" s="14"/>
      <c r="N61" s="14"/>
      <c r="O61" s="15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</row>
    <row r="62" customFormat="false" ht="15" hidden="false" customHeight="true" outlineLevel="0" collapsed="false">
      <c r="B62" s="8" t="n">
        <v>27</v>
      </c>
      <c r="C62" s="19" t="s">
        <v>78</v>
      </c>
      <c r="D62" s="20"/>
      <c r="E62" s="21" t="s">
        <v>52</v>
      </c>
      <c r="F62" s="22" t="s">
        <v>53</v>
      </c>
      <c r="G62" s="13" t="s">
        <v>41</v>
      </c>
      <c r="H62" s="14"/>
      <c r="I62" s="14"/>
      <c r="J62" s="14"/>
      <c r="K62" s="14"/>
      <c r="L62" s="14"/>
      <c r="M62" s="14"/>
      <c r="N62" s="14"/>
      <c r="O62" s="15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5"/>
    </row>
    <row r="63" customFormat="false" ht="15" hidden="false" customHeight="true" outlineLevel="0" collapsed="false">
      <c r="B63" s="8"/>
      <c r="C63" s="8"/>
      <c r="D63" s="8"/>
      <c r="E63" s="8"/>
      <c r="F63" s="8"/>
      <c r="G63" s="13" t="s">
        <v>42</v>
      </c>
      <c r="H63" s="14"/>
      <c r="I63" s="14"/>
      <c r="J63" s="14"/>
      <c r="K63" s="14"/>
      <c r="L63" s="14"/>
      <c r="M63" s="14"/>
      <c r="N63" s="14"/>
      <c r="O63" s="15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</row>
    <row r="64" customFormat="false" ht="18" hidden="false" customHeight="true" outlineLevel="0" collapsed="false">
      <c r="B64" s="5" t="s">
        <v>79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customFormat="false" ht="15" hidden="false" customHeight="true" outlineLevel="0" collapsed="false">
      <c r="B65" s="8" t="n">
        <v>28</v>
      </c>
      <c r="C65" s="23" t="s">
        <v>80</v>
      </c>
      <c r="D65" s="10" t="s">
        <v>81</v>
      </c>
      <c r="E65" s="11" t="s">
        <v>82</v>
      </c>
      <c r="F65" s="12" t="s">
        <v>40</v>
      </c>
      <c r="G65" s="13" t="s">
        <v>41</v>
      </c>
      <c r="H65" s="16"/>
      <c r="I65" s="16"/>
      <c r="J65" s="16"/>
      <c r="K65" s="16"/>
      <c r="L65" s="16"/>
      <c r="M65" s="16"/>
      <c r="N65" s="16"/>
      <c r="O65" s="24"/>
      <c r="P65" s="16"/>
      <c r="Q65" s="16"/>
      <c r="R65" s="16"/>
      <c r="S65" s="16"/>
      <c r="T65" s="16"/>
      <c r="U65" s="16"/>
      <c r="V65" s="16"/>
      <c r="W65" s="16"/>
      <c r="X65" s="16"/>
      <c r="Y65" s="14"/>
      <c r="Z65" s="14"/>
      <c r="AA65" s="14"/>
      <c r="AB65" s="14"/>
      <c r="AC65" s="14"/>
    </row>
    <row r="66" customFormat="false" ht="15" hidden="false" customHeight="true" outlineLevel="0" collapsed="false">
      <c r="B66" s="8"/>
      <c r="C66" s="8"/>
      <c r="D66" s="8"/>
      <c r="E66" s="8"/>
      <c r="F66" s="8"/>
      <c r="G66" s="13" t="s">
        <v>42</v>
      </c>
      <c r="H66" s="17"/>
      <c r="I66" s="17"/>
      <c r="J66" s="17"/>
      <c r="K66" s="17"/>
      <c r="L66" s="17"/>
      <c r="M66" s="17"/>
      <c r="N66" s="17"/>
      <c r="O66" s="18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</row>
    <row r="68" customFormat="false" ht="15" hidden="false" customHeight="false" outlineLevel="0" collapsed="false">
      <c r="C68" s="25" t="s">
        <v>83</v>
      </c>
    </row>
    <row r="69" customFormat="false" ht="15" hidden="false" customHeight="false" outlineLevel="0" collapsed="false">
      <c r="B69" s="16"/>
      <c r="C69" s="26" t="s">
        <v>84</v>
      </c>
    </row>
    <row r="70" customFormat="false" ht="15" hidden="false" customHeight="false" outlineLevel="0" collapsed="false">
      <c r="B70" s="17"/>
      <c r="C70" s="26" t="s">
        <v>85</v>
      </c>
    </row>
    <row r="71" customFormat="false" ht="15" hidden="false" customHeight="false" outlineLevel="0" collapsed="false">
      <c r="B71" s="27"/>
      <c r="C71" s="26" t="s">
        <v>86</v>
      </c>
    </row>
    <row r="72" customFormat="false" ht="15" hidden="false" customHeight="false" outlineLevel="0" collapsed="false">
      <c r="B72" s="5"/>
      <c r="C72" s="26" t="s">
        <v>87</v>
      </c>
    </row>
    <row r="74" customFormat="false" ht="15" hidden="false" customHeight="false" outlineLevel="0" collapsed="false">
      <c r="C74" s="25" t="s">
        <v>88</v>
      </c>
    </row>
    <row r="75" customFormat="false" ht="22.35" hidden="false" customHeight="false" outlineLevel="0" collapsed="false">
      <c r="C75" s="28" t="s">
        <v>5</v>
      </c>
      <c r="D75" s="28" t="s">
        <v>89</v>
      </c>
      <c r="E75" s="28" t="s">
        <v>59</v>
      </c>
      <c r="F75" s="28" t="s">
        <v>39</v>
      </c>
      <c r="G75" s="28" t="s">
        <v>90</v>
      </c>
    </row>
    <row r="76" customFormat="false" ht="15" hidden="false" customHeight="false" outlineLevel="0" collapsed="false">
      <c r="C76" s="29" t="s">
        <v>91</v>
      </c>
      <c r="D76" s="30" t="n">
        <f aca="false">COUNTIF(D6:D66,"I")</f>
        <v>9</v>
      </c>
      <c r="E76" s="30" t="n">
        <f aca="false">COUNTIFS(D6:D66,"I",E6:E66,"Dominado")</f>
        <v>0</v>
      </c>
      <c r="F76" s="30" t="n">
        <f aca="false">COUNTIFS(D6:D66,"I",E6:E66,"Parcial")</f>
        <v>9</v>
      </c>
      <c r="G76" s="30" t="n">
        <f aca="false">COUNTIFS(D6:D66,"I",E6:E66,"No iniciado")</f>
        <v>0</v>
      </c>
    </row>
    <row r="77" customFormat="false" ht="15" hidden="false" customHeight="false" outlineLevel="0" collapsed="false">
      <c r="C77" s="29" t="s">
        <v>92</v>
      </c>
      <c r="D77" s="30" t="n">
        <f aca="false">COUNTIF(D6:D66,"L")</f>
        <v>5</v>
      </c>
      <c r="E77" s="30" t="n">
        <f aca="false">COUNTIFS(D6:D66,"L",E6:E66,"Dominado")</f>
        <v>3</v>
      </c>
      <c r="F77" s="30" t="n">
        <f aca="false">COUNTIFS(D6:D66,"L",E6:E66,"Parcial")</f>
        <v>2</v>
      </c>
      <c r="G77" s="30" t="n">
        <f aca="false">COUNTIFS(D6:D66,"L",E6:E66,"No iniciado")</f>
        <v>0</v>
      </c>
    </row>
    <row r="78" customFormat="false" ht="15" hidden="false" customHeight="false" outlineLevel="0" collapsed="false">
      <c r="C78" s="29" t="s">
        <v>93</v>
      </c>
      <c r="D78" s="30" t="n">
        <f aca="false">COUNTIF(D6:D66,"U")</f>
        <v>3</v>
      </c>
      <c r="E78" s="30" t="n">
        <f aca="false">COUNTIFS(D6:D66,"U",E6:E66,"Dominado")</f>
        <v>0</v>
      </c>
      <c r="F78" s="30" t="n">
        <f aca="false">COUNTIFS(D6:D66,"U",E6:E66,"Parcial")</f>
        <v>1</v>
      </c>
      <c r="G78" s="30" t="n">
        <f aca="false">COUNTIFS(D6:D66,"U",E6:E66,"No iniciado")</f>
        <v>2</v>
      </c>
    </row>
    <row r="79" customFormat="false" ht="15" hidden="false" customHeight="false" outlineLevel="0" collapsed="false">
      <c r="C79" s="29" t="s">
        <v>94</v>
      </c>
      <c r="D79" s="30" t="n">
        <f aca="false">COUNTIF(D6:D66,"O")</f>
        <v>6</v>
      </c>
      <c r="E79" s="30" t="n">
        <f aca="false">COUNTIFS(D6:D66,"O",E6:E66,"Dominado")</f>
        <v>1</v>
      </c>
      <c r="F79" s="30" t="n">
        <f aca="false">COUNTIFS(D6:D66,"O",E6:E66,"Parcial")</f>
        <v>0</v>
      </c>
      <c r="G79" s="30" t="n">
        <f aca="false">COUNTIFS(D6:D66,"O",E6:E66,"No iniciado")</f>
        <v>5</v>
      </c>
    </row>
    <row r="80" customFormat="false" ht="15" hidden="false" customHeight="false" outlineLevel="0" collapsed="false">
      <c r="C80" s="31" t="s">
        <v>95</v>
      </c>
      <c r="D80" s="32" t="n">
        <f aca="false">SUM(D76:D79)</f>
        <v>23</v>
      </c>
      <c r="E80" s="32" t="n">
        <f aca="false">SUM(E76:E79)</f>
        <v>4</v>
      </c>
      <c r="F80" s="32" t="n">
        <f aca="false">SUM(F76:F79)</f>
        <v>12</v>
      </c>
      <c r="G80" s="32" t="n">
        <f aca="false">SUM(G76:G79)</f>
        <v>7</v>
      </c>
    </row>
    <row r="82" customFormat="false" ht="15" hidden="false" customHeight="false" outlineLevel="0" collapsed="false">
      <c r="C82" s="33" t="s">
        <v>96</v>
      </c>
    </row>
  </sheetData>
  <mergeCells count="158">
    <mergeCell ref="B2:G2"/>
    <mergeCell ref="H2:AC2"/>
    <mergeCell ref="B4:B5"/>
    <mergeCell ref="C4:C5"/>
    <mergeCell ref="D4:D5"/>
    <mergeCell ref="E4:E5"/>
    <mergeCell ref="F4:F5"/>
    <mergeCell ref="G4:G5"/>
    <mergeCell ref="H4:L4"/>
    <mergeCell ref="M4:P4"/>
    <mergeCell ref="Q4:T4"/>
    <mergeCell ref="U4:Y4"/>
    <mergeCell ref="Z4:AC4"/>
    <mergeCell ref="B6:AC6"/>
    <mergeCell ref="B7:B8"/>
    <mergeCell ref="C7:C8"/>
    <mergeCell ref="D7:D8"/>
    <mergeCell ref="E7:E8"/>
    <mergeCell ref="F7:F8"/>
    <mergeCell ref="B9:B10"/>
    <mergeCell ref="C9:C10"/>
    <mergeCell ref="D9:D10"/>
    <mergeCell ref="E9:E10"/>
    <mergeCell ref="F9:F10"/>
    <mergeCell ref="B11:B12"/>
    <mergeCell ref="C11:C12"/>
    <mergeCell ref="D11:D12"/>
    <mergeCell ref="E11:E12"/>
    <mergeCell ref="F11:F12"/>
    <mergeCell ref="B13:B14"/>
    <mergeCell ref="C13:C14"/>
    <mergeCell ref="D13:D14"/>
    <mergeCell ref="E13:E14"/>
    <mergeCell ref="F13:F14"/>
    <mergeCell ref="B15:B16"/>
    <mergeCell ref="C15:C16"/>
    <mergeCell ref="D15:D16"/>
    <mergeCell ref="E15:E16"/>
    <mergeCell ref="F15:F16"/>
    <mergeCell ref="B17:B18"/>
    <mergeCell ref="C17:C18"/>
    <mergeCell ref="D17:D18"/>
    <mergeCell ref="E17:E18"/>
    <mergeCell ref="F17:F18"/>
    <mergeCell ref="B19:B20"/>
    <mergeCell ref="C19:C20"/>
    <mergeCell ref="D19:D20"/>
    <mergeCell ref="E19:E20"/>
    <mergeCell ref="F19:F20"/>
    <mergeCell ref="B21:B22"/>
    <mergeCell ref="C21:C22"/>
    <mergeCell ref="D21:D22"/>
    <mergeCell ref="E21:E22"/>
    <mergeCell ref="F21:F22"/>
    <mergeCell ref="B23:B24"/>
    <mergeCell ref="C23:C24"/>
    <mergeCell ref="D23:D24"/>
    <mergeCell ref="E23:E24"/>
    <mergeCell ref="F23:F24"/>
    <mergeCell ref="B25:B26"/>
    <mergeCell ref="C25:C26"/>
    <mergeCell ref="D25:D26"/>
    <mergeCell ref="E25:E26"/>
    <mergeCell ref="F25:F26"/>
    <mergeCell ref="B27:AC27"/>
    <mergeCell ref="B28:B29"/>
    <mergeCell ref="C28:C29"/>
    <mergeCell ref="D28:D29"/>
    <mergeCell ref="E28:E29"/>
    <mergeCell ref="F28:F29"/>
    <mergeCell ref="B30:B31"/>
    <mergeCell ref="C30:C31"/>
    <mergeCell ref="D30:D31"/>
    <mergeCell ref="E30:E31"/>
    <mergeCell ref="F30:F31"/>
    <mergeCell ref="B32:B33"/>
    <mergeCell ref="C32:C33"/>
    <mergeCell ref="D32:D33"/>
    <mergeCell ref="E32:E33"/>
    <mergeCell ref="F32:F33"/>
    <mergeCell ref="B34:B35"/>
    <mergeCell ref="C34:C35"/>
    <mergeCell ref="D34:D35"/>
    <mergeCell ref="E34:E35"/>
    <mergeCell ref="F34:F35"/>
    <mergeCell ref="B36:B37"/>
    <mergeCell ref="C36:C37"/>
    <mergeCell ref="D36:D37"/>
    <mergeCell ref="E36:E37"/>
    <mergeCell ref="F36:F37"/>
    <mergeCell ref="B38:B39"/>
    <mergeCell ref="C38:C39"/>
    <mergeCell ref="D38:D39"/>
    <mergeCell ref="E38:E39"/>
    <mergeCell ref="F38:F39"/>
    <mergeCell ref="B40:AC40"/>
    <mergeCell ref="B41:B42"/>
    <mergeCell ref="C41:C42"/>
    <mergeCell ref="D41:D42"/>
    <mergeCell ref="E41:E42"/>
    <mergeCell ref="F41:F42"/>
    <mergeCell ref="B43:B44"/>
    <mergeCell ref="C43:C44"/>
    <mergeCell ref="D43:D44"/>
    <mergeCell ref="E43:E44"/>
    <mergeCell ref="F43:F44"/>
    <mergeCell ref="B45:B46"/>
    <mergeCell ref="C45:C46"/>
    <mergeCell ref="D45:D46"/>
    <mergeCell ref="E45:E46"/>
    <mergeCell ref="F45:F46"/>
    <mergeCell ref="B47:B48"/>
    <mergeCell ref="C47:C48"/>
    <mergeCell ref="D47:D48"/>
    <mergeCell ref="E47:E48"/>
    <mergeCell ref="F47:F48"/>
    <mergeCell ref="B49:AC49"/>
    <mergeCell ref="B50:B51"/>
    <mergeCell ref="C50:C51"/>
    <mergeCell ref="D50:D51"/>
    <mergeCell ref="E50:E51"/>
    <mergeCell ref="F50:F51"/>
    <mergeCell ref="B52:B53"/>
    <mergeCell ref="C52:C53"/>
    <mergeCell ref="D52:D53"/>
    <mergeCell ref="E52:E53"/>
    <mergeCell ref="F52:F53"/>
    <mergeCell ref="B54:B55"/>
    <mergeCell ref="C54:C55"/>
    <mergeCell ref="D54:D55"/>
    <mergeCell ref="E54:E55"/>
    <mergeCell ref="F54:F55"/>
    <mergeCell ref="B56:B57"/>
    <mergeCell ref="C56:C57"/>
    <mergeCell ref="D56:D57"/>
    <mergeCell ref="E56:E57"/>
    <mergeCell ref="F56:F57"/>
    <mergeCell ref="B58:B59"/>
    <mergeCell ref="C58:C59"/>
    <mergeCell ref="D58:D59"/>
    <mergeCell ref="E58:E59"/>
    <mergeCell ref="F58:F59"/>
    <mergeCell ref="B60:B61"/>
    <mergeCell ref="C60:C61"/>
    <mergeCell ref="D60:D61"/>
    <mergeCell ref="E60:E61"/>
    <mergeCell ref="F60:F61"/>
    <mergeCell ref="B62:B63"/>
    <mergeCell ref="C62:C63"/>
    <mergeCell ref="D62:D63"/>
    <mergeCell ref="E62:E63"/>
    <mergeCell ref="F62:F63"/>
    <mergeCell ref="B64:AC64"/>
    <mergeCell ref="B65:B66"/>
    <mergeCell ref="C65:C66"/>
    <mergeCell ref="D65:D66"/>
    <mergeCell ref="E65:E66"/>
    <mergeCell ref="F65:F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2026-09-22T17:16:32Z</dcterms:created>
  <dc:creator>openpyxl</dc:creator>
  <dc:description/>
  <dc:language>en-US</dc:language>
  <cp:lastModifiedBy/>
  <dcterms:modified xsi:type="dcterms:W3CDTF">2026-09-22T17:16:32Z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